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Transaction" sheetId="3" state="visible" r:id="rId3"/>
    <sheet xmlns:r="http://schemas.openxmlformats.org/officeDocument/2006/relationships" name="Acquirer" sheetId="4" state="visible" r:id="rId4"/>
    <sheet xmlns:r="http://schemas.openxmlformats.org/officeDocument/2006/relationships" name="Target" sheetId="5" state="visible" r:id="rId5"/>
    <sheet xmlns:r="http://schemas.openxmlformats.org/officeDocument/2006/relationships" name="Pro Forma" sheetId="6" state="visible" r:id="rId6"/>
    <sheet xmlns:r="http://schemas.openxmlformats.org/officeDocument/2006/relationships" name="Accretion" sheetId="7" state="visible" r:id="rId7"/>
    <sheet xmlns:r="http://schemas.openxmlformats.org/officeDocument/2006/relationships" name="Sensitivit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$#,##0.00;($#,##0.00)"/>
    <numFmt numFmtId="165" formatCode="0.0%"/>
    <numFmt numFmtId="166" formatCode="#,##0.0"/>
    <numFmt numFmtId="167" formatCode="$#,##0;($#,##0);&quot;-&quot;"/>
    <numFmt numFmtId="168" formatCode="0.0&quot;x&quot;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color rgb="00FF0000"/>
      <sz val="10"/>
    </font>
  </fonts>
  <fills count="8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1F4E79"/>
      </patternFill>
    </fill>
    <fill>
      <patternFill patternType="solid">
        <fgColor rgb="00D9E1F2"/>
      </patternFill>
    </fill>
    <fill>
      <patternFill patternType="solid">
        <fgColor rgb="00FFC7CE"/>
      </patternFill>
    </fill>
    <fill>
      <patternFill patternType="solid">
        <fgColor rgb="00EBF3FB"/>
      </patternFill>
    </fill>
    <fill>
      <patternFill patternType="solid">
        <fgColor rgb="00BDD7EE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right" vertical="center"/>
    </xf>
    <xf numFmtId="165" fontId="6" fillId="5" borderId="1" applyAlignment="1" pivotButton="0" quotePrefix="0" xfId="0">
      <alignment horizontal="right" vertical="center"/>
    </xf>
    <xf numFmtId="164" fontId="5" fillId="6" borderId="1" applyAlignment="1" pivotButton="0" quotePrefix="0" xfId="0">
      <alignment horizontal="right" vertical="center"/>
    </xf>
    <xf numFmtId="166" fontId="5" fillId="6" borderId="1" applyAlignment="1" pivotButton="0" quotePrefix="0" xfId="0">
      <alignment horizontal="right" vertical="center"/>
    </xf>
    <xf numFmtId="167" fontId="5" fillId="6" borderId="1" applyAlignment="1" pivotButton="0" quotePrefix="0" xfId="0">
      <alignment horizontal="right" vertical="center"/>
    </xf>
    <xf numFmtId="168" fontId="5" fillId="6" borderId="1" applyAlignment="1" pivotButton="0" quotePrefix="0" xfId="0">
      <alignment horizontal="right" vertical="center"/>
    </xf>
    <xf numFmtId="165" fontId="5" fillId="6" borderId="1" applyAlignment="1" pivotButton="0" quotePrefix="0" xfId="0">
      <alignment horizontal="right" vertical="center"/>
    </xf>
    <xf numFmtId="0" fontId="0" fillId="0" borderId="1" pivotButton="0" quotePrefix="0" xfId="0"/>
    <xf numFmtId="0" fontId="3" fillId="2" borderId="1" applyAlignment="1" pivotButton="0" quotePrefix="0" xfId="0">
      <alignment horizontal="center" vertical="center"/>
    </xf>
    <xf numFmtId="165" fontId="5" fillId="0" borderId="1" applyAlignment="1" pivotButton="0" quotePrefix="0" xfId="0">
      <alignment horizontal="right" vertical="center"/>
    </xf>
    <xf numFmtId="167" fontId="5" fillId="0" borderId="1" applyAlignment="1" pivotButton="0" quotePrefix="0" xfId="0">
      <alignment horizontal="right" vertical="center"/>
    </xf>
    <xf numFmtId="166" fontId="5" fillId="0" borderId="1" applyAlignment="1" pivotButton="0" quotePrefix="0" xfId="0">
      <alignment horizontal="right" vertical="center"/>
    </xf>
    <xf numFmtId="167" fontId="4" fillId="0" borderId="1" applyAlignment="1" pivotButton="0" quotePrefix="0" xfId="0">
      <alignment horizontal="right" vertical="center"/>
    </xf>
    <xf numFmtId="168" fontId="5" fillId="0" borderId="1" applyAlignment="1" pivotButton="0" quotePrefix="0" xfId="0">
      <alignment horizontal="right" vertical="center"/>
    </xf>
    <xf numFmtId="166" fontId="4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right" vertical="center"/>
    </xf>
    <xf numFmtId="164" fontId="6" fillId="5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right" vertical="center"/>
    </xf>
    <xf numFmtId="165" fontId="7" fillId="5" borderId="1" applyAlignment="1" pivotButton="0" quotePrefix="0" xfId="0">
      <alignment horizontal="right" vertical="center"/>
    </xf>
    <xf numFmtId="165" fontId="6" fillId="7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2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2" customWidth="1" min="2" max="2"/>
    <col width="22" customWidth="1" min="3" max="3"/>
    <col width="22" customWidth="1" min="4" max="4"/>
    <col width="22" customWidth="1" min="5" max="5"/>
    <col width="2" customWidth="1" min="6" max="6"/>
  </cols>
  <sheetData>
    <row r="1" ht="12" customHeight="1"/>
    <row r="2" ht="42" customHeight="1">
      <c r="B2" s="1" t="inlineStr">
        <is>
          <t>MERGER CONSEQUENCES ANALYSIS</t>
        </is>
      </c>
      <c r="C2" s="2" t="n"/>
      <c r="D2" s="2" t="n"/>
      <c r="E2" s="3" t="n"/>
    </row>
    <row r="3" ht="28" customHeight="1">
      <c r="B3" s="4" t="inlineStr">
        <is>
          <t>Microsoft Corporation / Apple Inc.</t>
        </is>
      </c>
      <c r="C3" s="2" t="n"/>
      <c r="D3" s="2" t="n"/>
      <c r="E3" s="3" t="n"/>
    </row>
    <row r="4" ht="12" customHeight="1"/>
    <row r="5">
      <c r="B5" s="5" t="inlineStr">
        <is>
          <t>TRANSACTION SUMMARY</t>
        </is>
      </c>
      <c r="C5" s="2" t="n"/>
      <c r="D5" s="2" t="n"/>
      <c r="E5" s="3" t="n"/>
    </row>
    <row r="6">
      <c r="B6" s="6" t="inlineStr">
        <is>
          <t>Acquirer</t>
        </is>
      </c>
      <c r="C6" s="7" t="inlineStr">
        <is>
          <t>Microsoft Corporation</t>
        </is>
      </c>
      <c r="D6" s="8" t="inlineStr"/>
      <c r="E6" s="7" t="inlineStr"/>
    </row>
    <row r="7">
      <c r="B7" s="6" t="inlineStr">
        <is>
          <t>Target</t>
        </is>
      </c>
      <c r="C7" s="7" t="inlineStr">
        <is>
          <t>Apple Inc.</t>
        </is>
      </c>
      <c r="D7" s="8" t="inlineStr"/>
      <c r="E7" s="7" t="inlineStr"/>
    </row>
    <row r="8">
      <c r="B8" s="6" t="inlineStr">
        <is>
          <t>Offer Price / Share</t>
        </is>
      </c>
      <c r="C8" s="7" t="inlineStr">
        <is>
          <t>$391.51</t>
        </is>
      </c>
      <c r="D8" s="6" t="inlineStr">
        <is>
          <t>Premium to Unaffected</t>
        </is>
      </c>
      <c r="E8" s="7" t="inlineStr">
        <is>
          <t>30%</t>
        </is>
      </c>
    </row>
    <row r="9">
      <c r="B9" s="6" t="inlineStr">
        <is>
          <t>Total Equity Value</t>
        </is>
      </c>
      <c r="C9" s="7" t="inlineStr">
        <is>
          <t>$5,750,219M</t>
        </is>
      </c>
      <c r="D9" s="6" t="inlineStr">
        <is>
          <t>Total Enterprise Value</t>
        </is>
      </c>
      <c r="E9" s="7" t="inlineStr">
        <is>
          <t>$5,766,423M</t>
        </is>
      </c>
    </row>
    <row r="10">
      <c r="B10" s="6" t="inlineStr">
        <is>
          <t>Implied EV/EBITDA</t>
        </is>
      </c>
      <c r="C10" s="7" t="inlineStr">
        <is>
          <t>36.0x</t>
        </is>
      </c>
      <c r="D10" s="6" t="inlineStr">
        <is>
          <t>Implied P/E</t>
        </is>
      </c>
      <c r="E10" s="7" t="inlineStr">
        <is>
          <t>47.4x</t>
        </is>
      </c>
    </row>
    <row r="11">
      <c r="B11" s="6" t="inlineStr">
        <is>
          <t>Consideration Mix</t>
        </is>
      </c>
      <c r="C11" s="7" t="inlineStr">
        <is>
          <t>50% Cash / 50% Stock</t>
        </is>
      </c>
      <c r="D11" s="6" t="inlineStr">
        <is>
          <t>New Shares Issued</t>
        </is>
      </c>
      <c r="E11" s="7" t="inlineStr">
        <is>
          <t>6,769.7M</t>
        </is>
      </c>
    </row>
    <row r="12">
      <c r="B12" s="6" t="inlineStr">
        <is>
          <t>Exchange Ratio</t>
        </is>
      </c>
      <c r="C12" s="7" t="inlineStr">
        <is>
          <t>0.9218x</t>
        </is>
      </c>
      <c r="D12" s="6" t="inlineStr">
        <is>
          <t>New Debt Raised</t>
        </is>
      </c>
      <c r="E12" s="7" t="inlineStr">
        <is>
          <t>$2,816,439M</t>
        </is>
      </c>
    </row>
    <row r="14">
      <c r="B14" s="5" t="inlineStr">
        <is>
          <t>EPS ACCRETION / (DILUTION) — KEY OUTPUTS</t>
        </is>
      </c>
      <c r="C14" s="2" t="n"/>
      <c r="D14" s="2" t="n"/>
      <c r="E14" s="3" t="n"/>
    </row>
    <row r="15" ht="16" customHeight="1">
      <c r="B15" s="9" t="inlineStr"/>
      <c r="C15" s="9" t="inlineStr">
        <is>
          <t>Year 1</t>
        </is>
      </c>
      <c r="D15" s="9" t="inlineStr">
        <is>
          <t>Year 2</t>
        </is>
      </c>
      <c r="E15" s="9" t="inlineStr">
        <is>
          <t>Year 3</t>
        </is>
      </c>
    </row>
    <row r="16">
      <c r="B16" s="8" t="inlineStr">
        <is>
          <t>GAAP EPS (Acq. Standalone)</t>
        </is>
      </c>
      <c r="C16" s="10" t="n">
        <v>17.9653</v>
      </c>
      <c r="D16" s="10" t="n">
        <v>19.222871</v>
      </c>
      <c r="E16" s="10" t="n">
        <v>20.56847197</v>
      </c>
    </row>
    <row r="17">
      <c r="B17" s="8" t="inlineStr">
        <is>
          <t>GAAP Pro Forma EPS</t>
        </is>
      </c>
      <c r="C17" s="10" t="n">
        <v>-1.157702642316175</v>
      </c>
      <c r="D17" s="10" t="n">
        <v>0.1132408490518522</v>
      </c>
      <c r="E17" s="10" t="n">
        <v>1.462847444770476</v>
      </c>
    </row>
    <row r="18">
      <c r="B18" s="6" t="inlineStr">
        <is>
          <t>GAAP Accretion / (Dilution)</t>
        </is>
      </c>
      <c r="C18" s="11" t="n">
        <v>-1.064441041469732</v>
      </c>
      <c r="D18" s="11" t="n">
        <v>-0.9941090563916362</v>
      </c>
      <c r="E18" s="11" t="n">
        <v>-0.9288791385716886</v>
      </c>
    </row>
    <row r="19">
      <c r="B19" s="8" t="inlineStr">
        <is>
          <t>Cash Pro Forma EPS</t>
        </is>
      </c>
      <c r="C19" s="10" t="n">
        <v>8.26273627659627</v>
      </c>
      <c r="D19" s="10" t="n">
        <v>9.533679767964296</v>
      </c>
      <c r="E19" s="10" t="n">
        <v>10.88328636368292</v>
      </c>
    </row>
    <row r="20">
      <c r="B20" s="6" t="inlineStr">
        <is>
          <t>Cash Accretion / (Dilution)</t>
        </is>
      </c>
      <c r="C20" s="11" t="n">
        <v>-0.5400724576491197</v>
      </c>
      <c r="D20" s="11" t="n">
        <v>-0.5040449593630266</v>
      </c>
      <c r="E20" s="11" t="n">
        <v>-0.4708753095729882</v>
      </c>
    </row>
    <row r="22">
      <c r="B22" s="5" t="inlineStr">
        <is>
          <t>SYNERGY &amp; VALUATION CONTEXT</t>
        </is>
      </c>
      <c r="C22" s="2" t="n"/>
      <c r="D22" s="2" t="n"/>
      <c r="E22" s="3" t="n"/>
    </row>
    <row r="23">
      <c r="B23" s="8" t="inlineStr">
        <is>
          <t>Run-Rate Synergies (After-Tax)</t>
        </is>
      </c>
      <c r="C23" s="7" t="inlineStr">
        <is>
          <t>$3,950M/yr</t>
        </is>
      </c>
      <c r="D23" s="2" t="n"/>
      <c r="E23" s="3" t="n"/>
    </row>
    <row r="24">
      <c r="B24" s="8" t="inlineStr">
        <is>
          <t>Synergy NPV</t>
        </is>
      </c>
      <c r="C24" s="7" t="inlineStr">
        <is>
          <t>$46,700M</t>
        </is>
      </c>
      <c r="D24" s="2" t="n"/>
      <c r="E24" s="3" t="n"/>
    </row>
    <row r="25">
      <c r="B25" s="8" t="inlineStr">
        <is>
          <t>Premium to 52-Week High</t>
        </is>
      </c>
      <c r="C25" s="7" t="inlineStr">
        <is>
          <t>29.1%</t>
        </is>
      </c>
      <c r="D25" s="2" t="n"/>
      <c r="E25" s="3" t="n"/>
    </row>
    <row r="26">
      <c r="B26" s="8" t="inlineStr">
        <is>
          <t>Target Analyst Price Target</t>
        </is>
      </c>
      <c r="C26" s="7" t="inlineStr">
        <is>
          <t>$308.07</t>
        </is>
      </c>
      <c r="D26" s="2" t="n"/>
      <c r="E26" s="3" t="n"/>
    </row>
  </sheetData>
  <mergeCells count="9">
    <mergeCell ref="C23:E23"/>
    <mergeCell ref="C26:E26"/>
    <mergeCell ref="B3:E3"/>
    <mergeCell ref="B5:E5"/>
    <mergeCell ref="B2:E2"/>
    <mergeCell ref="C25:E25"/>
    <mergeCell ref="B22:E22"/>
    <mergeCell ref="B14:E14"/>
    <mergeCell ref="C24:E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4" customWidth="1" min="3" max="3"/>
    <col width="36" customWidth="1" min="4" max="4"/>
    <col width="18" customWidth="1" min="5" max="5"/>
  </cols>
  <sheetData>
    <row r="1">
      <c r="A1" s="5" t="inlineStr">
        <is>
          <t>ACQUIRER ASSUMPTIONS</t>
        </is>
      </c>
      <c r="B1" s="3" t="n"/>
      <c r="D1" s="5" t="inlineStr">
        <is>
          <t>TARGET ASSUMPTIONS</t>
        </is>
      </c>
      <c r="E1" s="3" t="n"/>
    </row>
    <row r="2">
      <c r="A2" s="8" t="inlineStr">
        <is>
          <t>Share Price</t>
        </is>
      </c>
      <c r="B2" s="12" t="n">
        <v>424.7</v>
      </c>
      <c r="C2" t="inlineStr"/>
      <c r="D2" s="8" t="inlineStr">
        <is>
          <t>Share Price (Unaffected)</t>
        </is>
      </c>
      <c r="E2" s="12" t="n">
        <v>301.1601</v>
      </c>
    </row>
    <row r="3">
      <c r="A3" s="8" t="inlineStr">
        <is>
          <t>Diluted Shares (M)</t>
        </is>
      </c>
      <c r="B3" s="13" t="n">
        <v>7428.434704</v>
      </c>
      <c r="C3" t="inlineStr"/>
      <c r="D3" s="8" t="inlineStr">
        <is>
          <t>Diluted Shares (M)</t>
        </is>
      </c>
      <c r="E3" s="13" t="n">
        <v>14687.356</v>
      </c>
    </row>
    <row r="4">
      <c r="A4" s="8" t="inlineStr">
        <is>
          <t>Market Cap ($M)</t>
        </is>
      </c>
      <c r="B4" s="14" t="n">
        <v>3154856.378368</v>
      </c>
      <c r="C4" t="inlineStr"/>
      <c r="D4" s="8" t="inlineStr">
        <is>
          <t>Market Cap ($M)</t>
        </is>
      </c>
      <c r="E4" s="14" t="n">
        <v>4423245.365248</v>
      </c>
    </row>
    <row r="5">
      <c r="A5" s="8" t="inlineStr">
        <is>
          <t>LTM Revenue ($M)</t>
        </is>
      </c>
      <c r="B5" s="14" t="n">
        <v>318272.995328</v>
      </c>
      <c r="C5" t="inlineStr"/>
      <c r="D5" s="8" t="inlineStr">
        <is>
          <t>LTM Revenue ($M)</t>
        </is>
      </c>
      <c r="E5" s="14" t="n">
        <v>451442.016256</v>
      </c>
    </row>
    <row r="6">
      <c r="A6" s="8" t="inlineStr">
        <is>
          <t>LTM EBITDA ($M)</t>
        </is>
      </c>
      <c r="B6" s="14" t="n">
        <v>184457.003008</v>
      </c>
      <c r="C6" t="inlineStr"/>
      <c r="D6" s="8" t="inlineStr">
        <is>
          <t>LTM EBITDA ($M)</t>
        </is>
      </c>
      <c r="E6" s="14" t="n">
        <v>159975.99744</v>
      </c>
    </row>
    <row r="7">
      <c r="A7" s="8" t="inlineStr">
        <is>
          <t>LTM Net Income ($M)</t>
        </is>
      </c>
      <c r="B7" s="14" t="n">
        <v>124723.41868016</v>
      </c>
      <c r="C7" t="inlineStr"/>
      <c r="D7" s="8" t="inlineStr">
        <is>
          <t>LTM Net Income ($M)</t>
        </is>
      </c>
      <c r="E7" s="14" t="n">
        <v>121317.56056</v>
      </c>
    </row>
    <row r="8">
      <c r="A8" s="8" t="inlineStr">
        <is>
          <t>LTM EPS (Diluted)</t>
        </is>
      </c>
      <c r="B8" s="12" t="n">
        <v>16.79</v>
      </c>
      <c r="C8" t="inlineStr"/>
      <c r="D8" s="8" t="inlineStr">
        <is>
          <t>LTM EPS (Diluted)</t>
        </is>
      </c>
      <c r="E8" s="12" t="n">
        <v>8.26</v>
      </c>
    </row>
    <row r="9">
      <c r="A9" s="8" t="inlineStr">
        <is>
          <t>P/E Multiple</t>
        </is>
      </c>
      <c r="B9" s="15" t="n">
        <v>25.294817</v>
      </c>
      <c r="C9" t="inlineStr"/>
      <c r="D9" s="8" t="inlineStr">
        <is>
          <t>Net Debt ($M)</t>
        </is>
      </c>
      <c r="E9" s="14" t="n">
        <v>16203.99718399999</v>
      </c>
    </row>
    <row r="10">
      <c r="A10" s="8" t="inlineStr">
        <is>
          <t>Net Debt ($M)</t>
        </is>
      </c>
      <c r="B10" s="14" t="n">
        <v>47203.999744</v>
      </c>
      <c r="C10" t="inlineStr"/>
      <c r="D10" s="8" t="inlineStr">
        <is>
          <t>Book Equity ($M)</t>
        </is>
      </c>
      <c r="E10" s="14" t="n">
        <v>106630.20456</v>
      </c>
    </row>
    <row r="11">
      <c r="A11" s="8" t="inlineStr">
        <is>
          <t>Cash ($M)</t>
        </is>
      </c>
      <c r="B11" s="14" t="n">
        <v>78227.99667199999</v>
      </c>
      <c r="C11" t="inlineStr"/>
      <c r="D11" s="8" t="inlineStr">
        <is>
          <t>52-Week High</t>
        </is>
      </c>
      <c r="E11" s="12" t="n">
        <v>303.2</v>
      </c>
    </row>
    <row r="12">
      <c r="A12" s="8" t="inlineStr">
        <is>
          <t>Tax Rate</t>
        </is>
      </c>
      <c r="B12" s="16" t="n">
        <v>0.21</v>
      </c>
      <c r="C12" t="inlineStr"/>
      <c r="D12" s="8" t="inlineStr">
        <is>
          <t>52-Week Low</t>
        </is>
      </c>
      <c r="E12" s="12" t="n">
        <v>193.46</v>
      </c>
    </row>
    <row r="13">
      <c r="A13" s="8" t="inlineStr">
        <is>
          <t>Credit Rating Proxy</t>
        </is>
      </c>
      <c r="B13" s="17" t="inlineStr">
        <is>
          <t>Investment Grade</t>
        </is>
      </c>
      <c r="C13" t="inlineStr"/>
      <c r="D13" s="8" t="inlineStr">
        <is>
          <t>Analyst Price Target</t>
        </is>
      </c>
      <c r="E13" s="12" t="n">
        <v>308.06512</v>
      </c>
    </row>
    <row r="14">
      <c r="A14" s="8" t="inlineStr">
        <is>
          <t>Cost of New Debt</t>
        </is>
      </c>
      <c r="B14" s="16" t="n">
        <v>0.065</v>
      </c>
      <c r="C14" t="inlineStr"/>
      <c r="D14" s="8" t="inlineStr">
        <is>
          <t>Standalone EV/EBITDA</t>
        </is>
      </c>
      <c r="E14" s="15" t="n">
        <v>27.75072156744666</v>
      </c>
    </row>
    <row r="16">
      <c r="A16" s="18" t="inlineStr">
        <is>
          <t>DEAL TERMS (INPUTS)</t>
        </is>
      </c>
      <c r="B16" s="2" t="n"/>
      <c r="C16" s="2" t="n"/>
      <c r="D16" s="2" t="n"/>
      <c r="E16" s="3" t="n"/>
    </row>
    <row r="17">
      <c r="A17" s="8" t="inlineStr">
        <is>
          <t>Offer Premium (%)</t>
        </is>
      </c>
      <c r="B17" s="13" t="n">
        <v>30</v>
      </c>
    </row>
    <row r="18">
      <c r="A18" s="8" t="inlineStr">
        <is>
          <t>Cash Consideration (%)</t>
        </is>
      </c>
      <c r="B18" s="13" t="n">
        <v>50</v>
      </c>
    </row>
    <row r="19">
      <c r="A19" s="8" t="inlineStr">
        <is>
          <t>Stock Consideration (%)</t>
        </is>
      </c>
      <c r="B19" s="13" t="n">
        <v>50</v>
      </c>
    </row>
    <row r="20">
      <c r="A20" s="8" t="inlineStr">
        <is>
          <t>Run-Rate Synergies ($M)</t>
        </is>
      </c>
      <c r="B20" s="14" t="n">
        <v>5000</v>
      </c>
    </row>
    <row r="21">
      <c r="A21" s="8" t="inlineStr">
        <is>
          <t>Synergy Realization Y1</t>
        </is>
      </c>
      <c r="B21" s="13" t="n">
        <v>50</v>
      </c>
    </row>
    <row r="22">
      <c r="A22" s="8" t="inlineStr">
        <is>
          <t>Synergy Realization Y2</t>
        </is>
      </c>
      <c r="B22" s="13" t="n">
        <v>75</v>
      </c>
    </row>
    <row r="23">
      <c r="A23" s="8" t="inlineStr">
        <is>
          <t>Synergy Realization Y3</t>
        </is>
      </c>
      <c r="B23" s="13" t="n">
        <v>100</v>
      </c>
    </row>
    <row r="24">
      <c r="A24" s="8" t="inlineStr">
        <is>
          <t>Intangibles Life (yrs)</t>
        </is>
      </c>
      <c r="B24" s="13" t="n">
        <v>10</v>
      </c>
    </row>
    <row r="25">
      <c r="A25" s="8" t="inlineStr">
        <is>
          <t>Foregone Cash Yield</t>
        </is>
      </c>
      <c r="B25" s="13" t="n">
        <v>4.5</v>
      </c>
    </row>
  </sheetData>
  <mergeCells count="3">
    <mergeCell ref="A16:E16"/>
    <mergeCell ref="D1:E1"/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20" customWidth="1" min="2" max="2"/>
    <col width="4" customWidth="1" min="3" max="3"/>
    <col width="36" customWidth="1" min="4" max="4"/>
    <col width="20" customWidth="1" min="5" max="5"/>
  </cols>
  <sheetData>
    <row r="1">
      <c r="A1" s="5" t="inlineStr">
        <is>
          <t>PURCHASE PRICE ANALYSIS</t>
        </is>
      </c>
      <c r="B1" s="3" t="n"/>
      <c r="D1" s="5" t="inlineStr">
        <is>
          <t>SOURCES &amp; USES</t>
        </is>
      </c>
      <c r="E1" s="3" t="n"/>
    </row>
    <row r="2">
      <c r="A2" s="8" t="inlineStr">
        <is>
          <t>Target Share Price (Unaffected)</t>
        </is>
      </c>
      <c r="B2" s="10" t="n">
        <v>301.1601</v>
      </c>
      <c r="D2" s="9" t="inlineStr">
        <is>
          <t>Sources</t>
        </is>
      </c>
      <c r="E2" s="9" t="inlineStr">
        <is>
          <t>Amount ($M)</t>
        </is>
      </c>
    </row>
    <row r="3">
      <c r="A3" s="8" t="inlineStr">
        <is>
          <t>Offer Premium</t>
        </is>
      </c>
      <c r="B3" s="19" t="n">
        <v>0.3</v>
      </c>
      <c r="D3" s="8" t="inlineStr">
        <is>
          <t>Cash from Acquirer Balance</t>
        </is>
      </c>
      <c r="E3" s="20" t="n">
        <v>58670.997504</v>
      </c>
    </row>
    <row r="4">
      <c r="A4" s="8" t="inlineStr">
        <is>
          <t>Offer Price Per Share</t>
        </is>
      </c>
      <c r="B4" s="10" t="n">
        <v>391.50813</v>
      </c>
      <c r="D4" s="8" t="inlineStr">
        <is>
          <t>New Debt Issued</t>
        </is>
      </c>
      <c r="E4" s="20" t="n">
        <v>2816438.64359814</v>
      </c>
    </row>
    <row r="5">
      <c r="A5" s="8" t="inlineStr">
        <is>
          <t>Target Diluted Shares (M)</t>
        </is>
      </c>
      <c r="B5" s="21" t="n">
        <v>14687.356</v>
      </c>
      <c r="D5" s="8" t="inlineStr">
        <is>
          <t>New Equity Issued (Stock)</t>
        </is>
      </c>
      <c r="E5" s="20" t="n">
        <v>2875109.64110214</v>
      </c>
    </row>
    <row r="6">
      <c r="A6" s="8" t="inlineStr">
        <is>
          <t>Equity Purchase Price ($M)</t>
        </is>
      </c>
      <c r="B6" s="20" t="n">
        <v>5750219.28220428</v>
      </c>
      <c r="D6" s="6" t="inlineStr">
        <is>
          <t>Total Sources</t>
        </is>
      </c>
      <c r="E6" s="22" t="n">
        <v>5750219.28220428</v>
      </c>
    </row>
    <row r="7">
      <c r="A7" s="8" t="inlineStr">
        <is>
          <t>(+) Net Debt Assumed ($M)</t>
        </is>
      </c>
      <c r="B7" s="20" t="n">
        <v>16203.99718399999</v>
      </c>
    </row>
    <row r="8">
      <c r="A8" s="8" t="inlineStr">
        <is>
          <t>Enterprise Value ($M)</t>
        </is>
      </c>
      <c r="B8" s="20" t="n">
        <v>5766423.27938828</v>
      </c>
      <c r="D8" s="9" t="inlineStr">
        <is>
          <t>Uses</t>
        </is>
      </c>
      <c r="E8" s="9" t="inlineStr">
        <is>
          <t>Amount ($M)</t>
        </is>
      </c>
    </row>
    <row r="9">
      <c r="A9" s="8" t="inlineStr"/>
      <c r="B9" s="17" t="n"/>
      <c r="D9" s="8" t="inlineStr">
        <is>
          <t>Equity Purchase Price</t>
        </is>
      </c>
      <c r="E9" s="20" t="n">
        <v>5750219.28220428</v>
      </c>
    </row>
    <row r="10">
      <c r="A10" s="8" t="inlineStr">
        <is>
          <t>Implied EV / LTM EBITDA</t>
        </is>
      </c>
      <c r="B10" s="23" t="n">
        <v>36.04555290584147</v>
      </c>
      <c r="D10" s="8" t="inlineStr">
        <is>
          <t>Transaction Fees</t>
        </is>
      </c>
      <c r="E10" s="20" t="n">
        <v>28751.0964110214</v>
      </c>
    </row>
    <row r="11">
      <c r="A11" s="8" t="inlineStr">
        <is>
          <t>Implied EV / LTM Revenue</t>
        </is>
      </c>
      <c r="B11" s="23" t="n">
        <v>12.7733420278681</v>
      </c>
      <c r="D11" s="6" t="inlineStr">
        <is>
          <t>Total Uses</t>
        </is>
      </c>
      <c r="E11" s="22" t="n">
        <v>5778970.378615301</v>
      </c>
    </row>
    <row r="12">
      <c r="A12" s="8" t="inlineStr">
        <is>
          <t>Implied P/E (LTM)</t>
        </is>
      </c>
      <c r="B12" s="23" t="n">
        <v>47.39807869249395</v>
      </c>
    </row>
    <row r="13">
      <c r="A13" s="8" t="inlineStr">
        <is>
          <t>Premium to 52-Week High</t>
        </is>
      </c>
      <c r="B13" s="19" t="n">
        <v>0.2912537269129287</v>
      </c>
    </row>
    <row r="14">
      <c r="A14" s="18" t="inlineStr">
        <is>
          <t>PURCHASE PRICE ALLOCATION (PPA)</t>
        </is>
      </c>
      <c r="B14" s="2" t="n"/>
      <c r="C14" s="2" t="n"/>
      <c r="D14" s="2" t="n"/>
      <c r="E14" s="3" t="n"/>
    </row>
    <row r="15">
      <c r="A15" s="8" t="inlineStr">
        <is>
          <t>Equity Purchase Price ($M)</t>
        </is>
      </c>
      <c r="B15" s="20" t="n">
        <v>5750219.28220428</v>
      </c>
      <c r="C15" s="17" t="n"/>
      <c r="D15" s="17" t="n"/>
      <c r="E15" s="17" t="n"/>
    </row>
    <row r="16">
      <c r="A16" s="8" t="inlineStr">
        <is>
          <t>(-) Target Book Equity ($M)</t>
        </is>
      </c>
      <c r="B16" s="20" t="n">
        <v>106630.20456</v>
      </c>
      <c r="C16" s="17" t="n"/>
      <c r="D16" s="17" t="n"/>
      <c r="E16" s="17" t="n"/>
    </row>
    <row r="17">
      <c r="A17" s="8" t="inlineStr">
        <is>
          <t>Purchase Premium Over Book ($M)</t>
        </is>
      </c>
      <c r="B17" s="20" t="n">
        <v>5643589.077644279</v>
      </c>
      <c r="C17" s="17" t="n"/>
      <c r="D17" s="17" t="n"/>
      <c r="E17" s="17" t="n"/>
    </row>
    <row r="18">
      <c r="A18" s="8" t="inlineStr">
        <is>
          <t xml:space="preserve">  Allocated to Intangibles (30%)</t>
        </is>
      </c>
      <c r="B18" s="20" t="n">
        <v>1693076.723293284</v>
      </c>
      <c r="C18" s="17" t="n"/>
      <c r="D18" s="17" t="n"/>
      <c r="E18" s="17" t="n"/>
    </row>
    <row r="19">
      <c r="A19" s="6" t="inlineStr">
        <is>
          <t xml:space="preserve">  Allocated to Goodwill (70%)</t>
        </is>
      </c>
      <c r="B19" s="22" t="n">
        <v>3950512.354350995</v>
      </c>
      <c r="C19" s="17" t="n"/>
      <c r="D19" s="17" t="n"/>
      <c r="E19" s="17" t="n"/>
    </row>
    <row r="20">
      <c r="A20" s="6" t="inlineStr">
        <is>
          <t>Annual Intangibles Amortization</t>
        </is>
      </c>
      <c r="B20" s="22" t="n">
        <v>169307.6723293284</v>
      </c>
      <c r="C20" s="17" t="n"/>
      <c r="D20" s="17" t="n"/>
      <c r="E20" s="17" t="n"/>
    </row>
    <row r="21">
      <c r="A21" s="6" t="inlineStr">
        <is>
          <t>After-Tax Intangibles Amort.</t>
        </is>
      </c>
      <c r="B21" s="22" t="n">
        <v>133753.0611401694</v>
      </c>
      <c r="C21" s="17" t="n"/>
      <c r="D21" s="17" t="n"/>
      <c r="E21" s="17" t="n"/>
    </row>
  </sheetData>
  <mergeCells count="3">
    <mergeCell ref="D1:E1"/>
    <mergeCell ref="A1:B1"/>
    <mergeCell ref="A14:E1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20" customWidth="1" min="2" max="2"/>
    <col width="20" customWidth="1" min="3" max="3"/>
    <col width="20" customWidth="1" min="4" max="4"/>
  </cols>
  <sheetData>
    <row r="1">
      <c r="A1" s="5" t="inlineStr">
        <is>
          <t>MICROSOFT CORPORATION STANDALONE OVERVIEW</t>
        </is>
      </c>
      <c r="B1" s="2" t="n"/>
      <c r="C1" s="2" t="n"/>
      <c r="D1" s="3" t="n"/>
    </row>
    <row r="2">
      <c r="A2" s="8" t="inlineStr">
        <is>
          <t>Share Price</t>
        </is>
      </c>
      <c r="B2" s="10" t="n">
        <v>424.7</v>
      </c>
    </row>
    <row r="3">
      <c r="A3" s="8" t="inlineStr">
        <is>
          <t>Market Cap ($M)</t>
        </is>
      </c>
      <c r="B3" s="20" t="n">
        <v>3154856.378368</v>
      </c>
    </row>
    <row r="4">
      <c r="A4" s="8" t="inlineStr">
        <is>
          <t>EV ($M)</t>
        </is>
      </c>
      <c r="B4" s="20" t="n">
        <v>3202060.378112</v>
      </c>
    </row>
    <row r="5">
      <c r="A5" s="8" t="inlineStr">
        <is>
          <t>EV / EBITDA</t>
        </is>
      </c>
      <c r="B5" s="23" t="n">
        <v>17.35938633879422</v>
      </c>
    </row>
    <row r="6">
      <c r="A6" s="8" t="inlineStr">
        <is>
          <t>P/E Multiple</t>
        </is>
      </c>
      <c r="B6" s="23" t="n">
        <v>25.294817</v>
      </c>
    </row>
    <row r="7">
      <c r="A7" s="8" t="inlineStr">
        <is>
          <t>LTM Revenue ($M)</t>
        </is>
      </c>
      <c r="B7" s="20" t="n">
        <v>318272.995328</v>
      </c>
    </row>
    <row r="8">
      <c r="A8" s="8" t="inlineStr">
        <is>
          <t>LTM EBITDA ($M)</t>
        </is>
      </c>
      <c r="B8" s="20" t="n">
        <v>184457.003008</v>
      </c>
    </row>
    <row r="9">
      <c r="A9" s="8" t="inlineStr">
        <is>
          <t>EBITDA Margin</t>
        </is>
      </c>
      <c r="B9" s="19" t="n">
        <v>0.5795559337916987</v>
      </c>
    </row>
    <row r="10">
      <c r="A10" s="8" t="inlineStr">
        <is>
          <t>LTM Net Income ($M)</t>
        </is>
      </c>
      <c r="B10" s="20" t="n">
        <v>124723.41868016</v>
      </c>
    </row>
    <row r="11">
      <c r="A11" s="8" t="inlineStr">
        <is>
          <t>Net Margin</t>
        </is>
      </c>
      <c r="B11" s="19" t="n">
        <v>0.3918755926861618</v>
      </c>
    </row>
    <row r="12">
      <c r="A12" s="8" t="inlineStr">
        <is>
          <t>LTM EPS (Diluted)</t>
        </is>
      </c>
      <c r="B12" s="10" t="n">
        <v>16.79</v>
      </c>
    </row>
    <row r="13">
      <c r="A13" s="8" t="inlineStr">
        <is>
          <t>Diluted Shares (M)</t>
        </is>
      </c>
      <c r="B13" s="21" t="n">
        <v>7428.434704</v>
      </c>
    </row>
    <row r="14">
      <c r="A14" s="8" t="inlineStr">
        <is>
          <t>Net Debt ($M)</t>
        </is>
      </c>
      <c r="B14" s="20" t="n">
        <v>47203.999744</v>
      </c>
    </row>
    <row r="15">
      <c r="A15" s="8" t="inlineStr">
        <is>
          <t>Net Debt / EBITDA</t>
        </is>
      </c>
      <c r="B15" s="23" t="n">
        <v>0.2559078754085186</v>
      </c>
    </row>
    <row r="16">
      <c r="A16" s="8" t="inlineStr">
        <is>
          <t>Credit Rating Proxy</t>
        </is>
      </c>
      <c r="B16" s="7" t="inlineStr">
        <is>
          <t>Investment Grade</t>
        </is>
      </c>
    </row>
    <row r="17">
      <c r="A17" s="8" t="inlineStr">
        <is>
          <t>52-Week High</t>
        </is>
      </c>
      <c r="B17" s="10" t="n">
        <v>555.45</v>
      </c>
    </row>
    <row r="18">
      <c r="A18" s="8" t="inlineStr">
        <is>
          <t>52-Week Low</t>
        </is>
      </c>
      <c r="B18" s="10" t="n">
        <v>356.28</v>
      </c>
    </row>
    <row r="19">
      <c r="A19" s="8" t="inlineStr">
        <is>
          <t>Analyst Price Target</t>
        </is>
      </c>
      <c r="B19" s="10" t="n">
        <v>561.5561</v>
      </c>
    </row>
    <row r="21">
      <c r="A21" s="5" t="inlineStr">
        <is>
          <t>EPS PROJECTION — STANDALONE (7% annual growth assumed)</t>
        </is>
      </c>
      <c r="B21" s="2" t="n"/>
      <c r="C21" s="2" t="n"/>
      <c r="D21" s="3" t="n"/>
    </row>
    <row r="22">
      <c r="A22" s="9" t="inlineStr">
        <is>
          <t>Metric</t>
        </is>
      </c>
      <c r="B22" s="9" t="inlineStr">
        <is>
          <t>Year 1</t>
        </is>
      </c>
      <c r="C22" s="9" t="inlineStr">
        <is>
          <t>Year 2</t>
        </is>
      </c>
      <c r="D22" s="9" t="inlineStr">
        <is>
          <t>Year 3</t>
        </is>
      </c>
    </row>
    <row r="23">
      <c r="A23" s="8" t="inlineStr">
        <is>
          <t>Net Income ($M)</t>
        </is>
      </c>
      <c r="B23" s="20" t="n">
        <v>133454.0579877712</v>
      </c>
      <c r="C23" s="20" t="n">
        <v>142795.8420469152</v>
      </c>
      <c r="D23" s="20" t="n">
        <v>152791.5509901993</v>
      </c>
    </row>
    <row r="24">
      <c r="A24" s="8" t="inlineStr">
        <is>
          <t>EPS (Diluted)</t>
        </is>
      </c>
      <c r="B24" s="10" t="n">
        <v>17.9653</v>
      </c>
      <c r="C24" s="10" t="n">
        <v>19.222871</v>
      </c>
      <c r="D24" s="10" t="n">
        <v>20.56847197</v>
      </c>
    </row>
  </sheetData>
  <mergeCells count="2">
    <mergeCell ref="A1:D1"/>
    <mergeCell ref="A21:D2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8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20" customWidth="1" min="2" max="2"/>
    <col width="20" customWidth="1" min="3" max="3"/>
    <col width="20" customWidth="1" min="4" max="4"/>
  </cols>
  <sheetData>
    <row r="1">
      <c r="A1" s="5" t="inlineStr">
        <is>
          <t>APPLE INC. STANDALONE OVERVIEW</t>
        </is>
      </c>
      <c r="B1" s="2" t="n"/>
      <c r="C1" s="2" t="n"/>
      <c r="D1" s="3" t="n"/>
    </row>
    <row r="2">
      <c r="A2" s="8" t="inlineStr">
        <is>
          <t>Share Price</t>
        </is>
      </c>
      <c r="B2" s="10" t="n">
        <v>301.1601</v>
      </c>
    </row>
    <row r="3">
      <c r="A3" s="8" t="inlineStr">
        <is>
          <t>Market Cap ($M)</t>
        </is>
      </c>
      <c r="B3" s="20" t="n">
        <v>4423245.365248</v>
      </c>
    </row>
    <row r="4">
      <c r="A4" s="8" t="inlineStr">
        <is>
          <t>EV ($M)</t>
        </is>
      </c>
      <c r="B4" s="20" t="n">
        <v>4439449.362432</v>
      </c>
    </row>
    <row r="5">
      <c r="A5" s="8" t="inlineStr">
        <is>
          <t>EV / EBITDA</t>
        </is>
      </c>
      <c r="B5" s="23" t="n">
        <v>27.75072156744666</v>
      </c>
    </row>
    <row r="6">
      <c r="A6" s="8" t="inlineStr">
        <is>
          <t>P/E Multiple</t>
        </is>
      </c>
      <c r="B6" s="23" t="n">
        <v>36.4661</v>
      </c>
    </row>
    <row r="7">
      <c r="A7" s="8" t="inlineStr">
        <is>
          <t>LTM Revenue ($M)</t>
        </is>
      </c>
      <c r="B7" s="20" t="n">
        <v>451442.016256</v>
      </c>
    </row>
    <row r="8">
      <c r="A8" s="8" t="inlineStr">
        <is>
          <t>LTM EBITDA ($M)</t>
        </is>
      </c>
      <c r="B8" s="20" t="n">
        <v>159975.99744</v>
      </c>
    </row>
    <row r="9">
      <c r="A9" s="8" t="inlineStr">
        <is>
          <t>EBITDA Margin</t>
        </is>
      </c>
      <c r="B9" s="19" t="n">
        <v>0.3543666554716124</v>
      </c>
    </row>
    <row r="10">
      <c r="A10" s="8" t="inlineStr">
        <is>
          <t>LTM Net Income ($M)</t>
        </is>
      </c>
      <c r="B10" s="20" t="n">
        <v>121317.56056</v>
      </c>
    </row>
    <row r="11">
      <c r="A11" s="8" t="inlineStr">
        <is>
          <t>Net Margin</t>
        </is>
      </c>
      <c r="B11" s="19" t="n">
        <v>0.2687334279740684</v>
      </c>
    </row>
    <row r="12">
      <c r="A12" s="8" t="inlineStr">
        <is>
          <t>LTM EPS (Diluted)</t>
        </is>
      </c>
      <c r="B12" s="10" t="n">
        <v>8.26</v>
      </c>
    </row>
    <row r="13">
      <c r="A13" s="8" t="inlineStr">
        <is>
          <t>Diluted Shares (M)</t>
        </is>
      </c>
      <c r="B13" s="21" t="n">
        <v>14687.356</v>
      </c>
    </row>
    <row r="14">
      <c r="A14" s="8" t="inlineStr">
        <is>
          <t>Net Debt ($M)</t>
        </is>
      </c>
      <c r="B14" s="20" t="n">
        <v>16203.99718399999</v>
      </c>
    </row>
    <row r="15">
      <c r="A15" s="8" t="inlineStr">
        <is>
          <t>Net Debt / EBITDA</t>
        </is>
      </c>
      <c r="B15" s="23" t="n">
        <v>0.1012901775472749</v>
      </c>
    </row>
    <row r="16">
      <c r="A16" s="8" t="inlineStr">
        <is>
          <t>Credit Rating Proxy</t>
        </is>
      </c>
      <c r="B16" s="7" t="inlineStr">
        <is>
          <t>Investment Grade</t>
        </is>
      </c>
    </row>
    <row r="17">
      <c r="A17" s="8" t="inlineStr">
        <is>
          <t>52-Week High</t>
        </is>
      </c>
      <c r="B17" s="10" t="n">
        <v>303.2</v>
      </c>
    </row>
    <row r="18">
      <c r="A18" s="8" t="inlineStr">
        <is>
          <t>52-Week Low</t>
        </is>
      </c>
      <c r="B18" s="10" t="n">
        <v>193.46</v>
      </c>
    </row>
    <row r="19">
      <c r="A19" s="8" t="inlineStr">
        <is>
          <t>Analyst Price Target</t>
        </is>
      </c>
      <c r="B19" s="10" t="n">
        <v>308.06512</v>
      </c>
    </row>
    <row r="21">
      <c r="A21" s="5" t="inlineStr">
        <is>
          <t>EPS PROJECTION — STANDALONE (7% annual growth assumed)</t>
        </is>
      </c>
      <c r="B21" s="2" t="n"/>
      <c r="C21" s="2" t="n"/>
      <c r="D21" s="3" t="n"/>
    </row>
    <row r="22">
      <c r="A22" s="9" t="inlineStr">
        <is>
          <t>Metric</t>
        </is>
      </c>
      <c r="B22" s="9" t="inlineStr">
        <is>
          <t>Year 1</t>
        </is>
      </c>
      <c r="C22" s="9" t="inlineStr">
        <is>
          <t>Year 2</t>
        </is>
      </c>
      <c r="D22" s="9" t="inlineStr">
        <is>
          <t>Year 3</t>
        </is>
      </c>
    </row>
    <row r="23">
      <c r="A23" s="8" t="inlineStr">
        <is>
          <t>Net Income ($M)</t>
        </is>
      </c>
      <c r="B23" s="20" t="n">
        <v>128596.6141936</v>
      </c>
      <c r="C23" s="20" t="n">
        <v>136312.411045216</v>
      </c>
      <c r="D23" s="20" t="n">
        <v>144491.155707929</v>
      </c>
    </row>
    <row r="24">
      <c r="A24" s="8" t="inlineStr">
        <is>
          <t>EPS (Diluted)</t>
        </is>
      </c>
      <c r="B24" s="10" t="n">
        <v>8.755599999999999</v>
      </c>
      <c r="C24" s="10" t="n">
        <v>9.280936000000001</v>
      </c>
      <c r="D24" s="10" t="n">
        <v>9.837792160000001</v>
      </c>
    </row>
    <row r="26">
      <c r="A26" s="5" t="inlineStr">
        <is>
          <t>VALUATION CONTEXT</t>
        </is>
      </c>
      <c r="B26" s="2" t="n"/>
      <c r="C26" s="2" t="n"/>
      <c r="D26" s="3" t="n"/>
    </row>
    <row r="27">
      <c r="A27" s="8" t="inlineStr">
        <is>
          <t>Analyst Target Upside/Downside</t>
        </is>
      </c>
      <c r="B27" s="19" t="n">
        <v>0.02292807048476875</v>
      </c>
    </row>
    <row r="28">
      <c r="A28" s="8" t="inlineStr">
        <is>
          <t>% Off 52-Week High</t>
        </is>
      </c>
      <c r="B28" s="19" t="n">
        <v>-0.006727902374670136</v>
      </c>
    </row>
  </sheetData>
  <mergeCells count="3">
    <mergeCell ref="A1:D1"/>
    <mergeCell ref="A26:D26"/>
    <mergeCell ref="A21:D2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20" customWidth="1" min="2" max="2"/>
    <col width="20" customWidth="1" min="3" max="3"/>
    <col width="20" customWidth="1" min="4" max="4"/>
  </cols>
  <sheetData>
    <row r="1">
      <c r="A1" s="18" t="inlineStr">
        <is>
          <t>PRO FORMA COMBINED INCOME STATEMENT</t>
        </is>
      </c>
      <c r="B1" s="2" t="n"/>
      <c r="C1" s="2" t="n"/>
      <c r="D1" s="3" t="n"/>
    </row>
    <row r="2">
      <c r="A2" s="9" t="inlineStr"/>
      <c r="B2" s="9" t="inlineStr">
        <is>
          <t>Pro Forma Year 1</t>
        </is>
      </c>
      <c r="C2" s="9" t="inlineStr">
        <is>
          <t>Pro Forma Year 2</t>
        </is>
      </c>
      <c r="D2" s="9" t="inlineStr">
        <is>
          <t>Pro Forma Year 3</t>
        </is>
      </c>
    </row>
    <row r="3">
      <c r="A3" s="8" t="inlineStr">
        <is>
          <t>Acquirer Standalone Net Income ($M)</t>
        </is>
      </c>
      <c r="B3" s="20" t="n">
        <v>133454.0579877712</v>
      </c>
      <c r="C3" s="20" t="n">
        <v>142795.8420469152</v>
      </c>
      <c r="D3" s="20" t="n">
        <v>152791.5509901993</v>
      </c>
    </row>
    <row r="4">
      <c r="A4" s="8" t="inlineStr">
        <is>
          <t>(+) Target Standalone Net Income ($M)</t>
        </is>
      </c>
      <c r="B4" s="20" t="n">
        <v>128596.6141936</v>
      </c>
      <c r="C4" s="20" t="n">
        <v>136312.411045216</v>
      </c>
      <c r="D4" s="20" t="n">
        <v>144491.155707929</v>
      </c>
    </row>
    <row r="5">
      <c r="A5" s="8" t="inlineStr">
        <is>
          <t>(-) Foregone Interest on Cash (AT)</t>
        </is>
      </c>
      <c r="B5" s="20" t="n">
        <v>-2085.7539612672</v>
      </c>
      <c r="C5" s="20" t="n">
        <v>-2085.7539612672</v>
      </c>
      <c r="D5" s="20" t="n">
        <v>-2085.7539612672</v>
      </c>
    </row>
    <row r="6">
      <c r="A6" s="8" t="inlineStr">
        <is>
          <t>(-) New Debt Interest Expense (AT)</t>
        </is>
      </c>
      <c r="B6" s="20" t="n">
        <v>-144624.1243487645</v>
      </c>
      <c r="C6" s="20" t="n">
        <v>-144624.1243487645</v>
      </c>
      <c r="D6" s="20" t="n">
        <v>-144624.1243487645</v>
      </c>
    </row>
    <row r="7">
      <c r="A7" s="8" t="inlineStr">
        <is>
          <t>(-) Intangibles Amortization (AT)</t>
        </is>
      </c>
      <c r="B7" s="20" t="n">
        <v>-133753.0611401694</v>
      </c>
      <c r="C7" s="20" t="n">
        <v>-133753.0611401694</v>
      </c>
      <c r="D7" s="20" t="n">
        <v>-133753.0611401694</v>
      </c>
    </row>
    <row r="8">
      <c r="A8" s="8" t="inlineStr">
        <is>
          <t>(+) After-Tax Synergies</t>
        </is>
      </c>
      <c r="B8" s="20" t="n">
        <v>1975</v>
      </c>
      <c r="C8" s="20" t="n">
        <v>2962.5</v>
      </c>
      <c r="D8" s="20" t="n">
        <v>3950</v>
      </c>
    </row>
    <row r="9">
      <c r="A9" s="6">
        <f> Pro Forma Net Income GAAP ($M)</f>
        <v/>
      </c>
      <c r="B9" s="22" t="n">
        <v>-16437.26726882992</v>
      </c>
      <c r="C9" s="22" t="n">
        <v>1607.813641930145</v>
      </c>
      <c r="D9" s="22" t="n">
        <v>20769.76724792717</v>
      </c>
    </row>
    <row r="10">
      <c r="A10" s="8" t="inlineStr">
        <is>
          <t>(+) Intangibles Amort Add-Back (AT)</t>
        </is>
      </c>
      <c r="B10" s="20" t="n">
        <v>133753.0611401694</v>
      </c>
      <c r="C10" s="20" t="n">
        <v>133753.0611401694</v>
      </c>
      <c r="D10" s="20" t="n">
        <v>133753.0611401694</v>
      </c>
    </row>
    <row r="11">
      <c r="A11" s="6">
        <f> Pro Forma Net Income Cash ($M)</f>
        <v/>
      </c>
      <c r="B11" s="22" t="n">
        <v>117315.7938713395</v>
      </c>
      <c r="C11" s="22" t="n">
        <v>135360.8747820996</v>
      </c>
      <c r="D11" s="22" t="n">
        <v>154522.8283880966</v>
      </c>
    </row>
    <row r="13">
      <c r="A13" s="5" t="inlineStr">
        <is>
          <t>SHARE COUNT</t>
        </is>
      </c>
      <c r="B13" s="2" t="n"/>
      <c r="C13" s="2" t="n"/>
      <c r="D13" s="3" t="n"/>
    </row>
    <row r="14">
      <c r="A14" s="8" t="inlineStr">
        <is>
          <t>Acquirer Standalone Shares (M)</t>
        </is>
      </c>
      <c r="B14" s="21" t="n">
        <v>7428.434704</v>
      </c>
      <c r="C14" s="21" t="n">
        <v>7428.434704</v>
      </c>
      <c r="D14" s="21" t="n">
        <v>7428.434704</v>
      </c>
    </row>
    <row r="15">
      <c r="A15" s="8" t="inlineStr">
        <is>
          <t>New Shares Issued (M)</t>
        </is>
      </c>
      <c r="B15" s="21" t="n">
        <v>6769.742503183753</v>
      </c>
      <c r="C15" s="21" t="n">
        <v>6769.742503183753</v>
      </c>
      <c r="D15" s="21" t="n">
        <v>6769.742503183753</v>
      </c>
    </row>
    <row r="16">
      <c r="A16" s="6" t="inlineStr">
        <is>
          <t>Pro Forma Shares (M)</t>
        </is>
      </c>
      <c r="B16" s="24" t="n">
        <v>14198.17720718375</v>
      </c>
      <c r="C16" s="24" t="n">
        <v>14198.17720718375</v>
      </c>
      <c r="D16" s="24" t="n">
        <v>14198.17720718375</v>
      </c>
    </row>
    <row r="18">
      <c r="A18" s="5" t="inlineStr">
        <is>
          <t>SYNERGY RAMP ($M after-tax)</t>
        </is>
      </c>
      <c r="B18" s="2" t="n"/>
      <c r="C18" s="2" t="n"/>
      <c r="D18" s="3" t="n"/>
    </row>
    <row r="19">
      <c r="A19" s="8" t="inlineStr">
        <is>
          <t>Cost Synergies (AT)</t>
        </is>
      </c>
      <c r="B19" s="20" t="n">
        <v>2765</v>
      </c>
      <c r="C19" s="20" t="n">
        <v>2765</v>
      </c>
      <c r="D19" s="20" t="n">
        <v>2765</v>
      </c>
    </row>
    <row r="20">
      <c r="A20" s="8" t="inlineStr">
        <is>
          <t>Revenue Synergies (AT)</t>
        </is>
      </c>
      <c r="B20" s="20" t="n">
        <v>1185</v>
      </c>
      <c r="C20" s="20" t="n">
        <v>1185</v>
      </c>
      <c r="D20" s="20" t="n">
        <v>1185</v>
      </c>
    </row>
    <row r="21">
      <c r="A21" s="6" t="inlineStr">
        <is>
          <t>Total Run-Rate Synergies</t>
        </is>
      </c>
      <c r="B21" s="20" t="n">
        <v>3950</v>
      </c>
      <c r="C21" s="20" t="n">
        <v>3950</v>
      </c>
      <c r="D21" s="20" t="n">
        <v>3950</v>
      </c>
    </row>
    <row r="22">
      <c r="A22" s="8" t="inlineStr">
        <is>
          <t>Realization %</t>
        </is>
      </c>
      <c r="B22" s="25" t="inlineStr">
        <is>
          <t>50%</t>
        </is>
      </c>
      <c r="C22" s="25" t="inlineStr">
        <is>
          <t>75%</t>
        </is>
      </c>
      <c r="D22" s="25" t="inlineStr">
        <is>
          <t>100%</t>
        </is>
      </c>
    </row>
    <row r="23">
      <c r="A23" s="6" t="inlineStr">
        <is>
          <t>Achieved Synergies (AT)</t>
        </is>
      </c>
      <c r="B23" s="22" t="n">
        <v>1975</v>
      </c>
      <c r="C23" s="22" t="n">
        <v>2962.5</v>
      </c>
      <c r="D23" s="22" t="n">
        <v>3950</v>
      </c>
    </row>
  </sheetData>
  <mergeCells count="3">
    <mergeCell ref="A1:D1"/>
    <mergeCell ref="A18:D18"/>
    <mergeCell ref="A13:D1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9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20" customWidth="1" min="2" max="2"/>
    <col width="20" customWidth="1" min="3" max="3"/>
    <col width="20" customWidth="1" min="4" max="4"/>
  </cols>
  <sheetData>
    <row r="1">
      <c r="A1" s="18" t="inlineStr">
        <is>
          <t>EPS ACCRETION / (DILUTION) ANALYSIS</t>
        </is>
      </c>
      <c r="B1" s="2" t="n"/>
      <c r="C1" s="2" t="n"/>
      <c r="D1" s="3" t="n"/>
    </row>
    <row r="2">
      <c r="A2" s="9" t="inlineStr"/>
      <c r="B2" s="9" t="inlineStr">
        <is>
          <t>Year 1</t>
        </is>
      </c>
      <c r="C2" s="9" t="inlineStr">
        <is>
          <t>Year 2</t>
        </is>
      </c>
      <c r="D2" s="9" t="inlineStr">
        <is>
          <t>Year 3</t>
        </is>
      </c>
    </row>
    <row r="3">
      <c r="A3" s="5" t="inlineStr">
        <is>
          <t>GAAP EPS BRIDGE</t>
        </is>
      </c>
      <c r="B3" s="2" t="n"/>
      <c r="C3" s="2" t="n"/>
      <c r="D3" s="3" t="n"/>
    </row>
    <row r="4">
      <c r="A4" s="8" t="inlineStr">
        <is>
          <t>Acquirer Standalone EPS</t>
        </is>
      </c>
      <c r="B4" s="10" t="n">
        <v>17.9653</v>
      </c>
      <c r="C4" s="10" t="n">
        <v>19.222871</v>
      </c>
      <c r="D4" s="10" t="n">
        <v>20.56847197</v>
      </c>
    </row>
    <row r="5">
      <c r="A5" s="8" t="inlineStr">
        <is>
          <t>GAAP Pro Forma EPS</t>
        </is>
      </c>
      <c r="B5" s="10" t="n">
        <v>-1.157702642316175</v>
      </c>
      <c r="C5" s="10" t="n">
        <v>0.1132408490518522</v>
      </c>
      <c r="D5" s="10" t="n">
        <v>1.462847444770476</v>
      </c>
    </row>
    <row r="6">
      <c r="A6" s="6" t="inlineStr">
        <is>
          <t>GAAP Accretion / (Dilution) $</t>
        </is>
      </c>
      <c r="B6" s="26" t="n">
        <v>-19.12300264231617</v>
      </c>
      <c r="C6" s="26" t="n">
        <v>-19.10963015094815</v>
      </c>
      <c r="D6" s="26" t="n">
        <v>-19.10562452522952</v>
      </c>
    </row>
    <row r="7">
      <c r="A7" s="6" t="inlineStr">
        <is>
          <t>GAAP Accretion / (Dilution) %</t>
        </is>
      </c>
      <c r="B7" s="11" t="n">
        <v>-1.064441041469732</v>
      </c>
      <c r="C7" s="11" t="n">
        <v>-0.9941090563916362</v>
      </c>
      <c r="D7" s="11" t="n">
        <v>-0.9288791385716886</v>
      </c>
    </row>
    <row r="9">
      <c r="A9" s="5" t="inlineStr">
        <is>
          <t>CASH EPS BRIDGE (GAAP + Intangibles Add-Back)</t>
        </is>
      </c>
      <c r="B9" s="2" t="n"/>
      <c r="C9" s="2" t="n"/>
      <c r="D9" s="3" t="n"/>
    </row>
    <row r="10">
      <c r="A10" s="8" t="inlineStr">
        <is>
          <t>Acquirer Standalone EPS</t>
        </is>
      </c>
      <c r="B10" s="10" t="n">
        <v>17.9653</v>
      </c>
      <c r="C10" s="10" t="n">
        <v>19.222871</v>
      </c>
      <c r="D10" s="10" t="n">
        <v>20.56847197</v>
      </c>
    </row>
    <row r="11">
      <c r="A11" s="8" t="inlineStr">
        <is>
          <t>Cash Pro Forma EPS</t>
        </is>
      </c>
      <c r="B11" s="10" t="n">
        <v>8.26273627659627</v>
      </c>
      <c r="C11" s="10" t="n">
        <v>9.533679767964296</v>
      </c>
      <c r="D11" s="10" t="n">
        <v>10.88328636368292</v>
      </c>
    </row>
    <row r="12">
      <c r="A12" s="6" t="inlineStr">
        <is>
          <t>Cash Accretion / (Dilution) $</t>
        </is>
      </c>
      <c r="B12" s="26" t="n">
        <v>-9.702563723403729</v>
      </c>
      <c r="C12" s="26" t="n">
        <v>-9.689191232035702</v>
      </c>
      <c r="D12" s="26" t="n">
        <v>-9.685185606317081</v>
      </c>
    </row>
    <row r="13">
      <c r="A13" s="6" t="inlineStr">
        <is>
          <t>Cash Accretion / (Dilution) %</t>
        </is>
      </c>
      <c r="B13" s="11" t="n">
        <v>-0.5400724576491197</v>
      </c>
      <c r="C13" s="11" t="n">
        <v>-0.5040449593630266</v>
      </c>
      <c r="D13" s="11" t="n">
        <v>-0.4708753095729882</v>
      </c>
    </row>
    <row r="16">
      <c r="A16" s="18" t="inlineStr">
        <is>
          <t>BREAK-EVEN PREMIUM ANALYSIS</t>
        </is>
      </c>
      <c r="B16" s="2" t="n"/>
      <c r="C16" s="2" t="n"/>
      <c r="D16" s="3" t="n"/>
    </row>
    <row r="17">
      <c r="A17" s="6" t="inlineStr">
        <is>
          <t>GAAP Break-Even Premium</t>
        </is>
      </c>
      <c r="B17" s="27" t="inlineStr">
        <is>
          <t>No breakeven — dilutive at all premiums</t>
        </is>
      </c>
      <c r="C17" s="2" t="n"/>
      <c r="D17" s="3" t="n"/>
    </row>
    <row r="18">
      <c r="A18" s="6" t="inlineStr">
        <is>
          <t>Cash EPS Break-Even Premium</t>
        </is>
      </c>
      <c r="B18" s="27" t="inlineStr">
        <is>
          <t>No breakeven — dilutive at all premiums</t>
        </is>
      </c>
      <c r="C18" s="2" t="n"/>
      <c r="D18" s="3" t="n"/>
    </row>
    <row r="19">
      <c r="A19" s="6" t="inlineStr">
        <is>
          <t>Deal Offer Premium</t>
        </is>
      </c>
      <c r="B19" s="27" t="inlineStr">
        <is>
          <t>30%</t>
        </is>
      </c>
      <c r="C19" s="2" t="n"/>
      <c r="D19" s="3" t="n"/>
    </row>
  </sheetData>
  <mergeCells count="7">
    <mergeCell ref="A1:D1"/>
    <mergeCell ref="A9:D9"/>
    <mergeCell ref="B19:D19"/>
    <mergeCell ref="A3:D3"/>
    <mergeCell ref="B17:D17"/>
    <mergeCell ref="B18:D18"/>
    <mergeCell ref="A16:D1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3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4" customWidth="1" min="7" max="7"/>
    <col width="24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>
      <c r="A1" s="18" t="inlineStr">
        <is>
          <t>TABLE 1 — Year 1 GAAP EPS Impact: Offer Premium × Synergy Realization</t>
        </is>
      </c>
      <c r="B1" s="2" t="n"/>
      <c r="C1" s="2" t="n"/>
      <c r="D1" s="2" t="n"/>
      <c r="E1" s="2" t="n"/>
      <c r="F1" s="3" t="n"/>
    </row>
    <row r="2">
      <c r="A2" s="9" t="inlineStr">
        <is>
          <t>Premium \ Synergy %</t>
        </is>
      </c>
      <c r="B2" s="9" t="inlineStr">
        <is>
          <t>0% of Base</t>
        </is>
      </c>
      <c r="C2" s="9" t="inlineStr">
        <is>
          <t>25% of Base</t>
        </is>
      </c>
      <c r="D2" s="9" t="inlineStr">
        <is>
          <t>50% of Base</t>
        </is>
      </c>
      <c r="E2" s="9" t="inlineStr">
        <is>
          <t>75% of Base</t>
        </is>
      </c>
      <c r="F2" s="9" t="inlineStr">
        <is>
          <t>100% of Base</t>
        </is>
      </c>
    </row>
    <row r="3">
      <c r="A3" s="8" t="inlineStr">
        <is>
          <t>10% Premium</t>
        </is>
      </c>
      <c r="B3" s="28" t="n">
        <v>-0.8930999732447306</v>
      </c>
      <c r="C3" s="28" t="n">
        <v>-0.8910110312674582</v>
      </c>
      <c r="D3" s="28" t="n">
        <v>-0.8889220892901855</v>
      </c>
      <c r="E3" s="28" t="n">
        <v>-0.8868331473129129</v>
      </c>
      <c r="F3" s="28" t="n">
        <v>-0.8847442053356405</v>
      </c>
    </row>
    <row r="4">
      <c r="A4" s="8" t="inlineStr">
        <is>
          <t>20% Premium</t>
        </is>
      </c>
      <c r="B4" s="28" t="n">
        <v>-0.986051112908654</v>
      </c>
      <c r="C4" s="28" t="n">
        <v>-0.9840417045503637</v>
      </c>
      <c r="D4" s="28" t="n">
        <v>-0.9820322961920732</v>
      </c>
      <c r="E4" s="28" t="n">
        <v>-0.9800228878337829</v>
      </c>
      <c r="F4" s="28" t="n">
        <v>-0.9780134794754924</v>
      </c>
    </row>
    <row r="5">
      <c r="A5" s="6" t="inlineStr">
        <is>
          <t>30% Premium</t>
        </is>
      </c>
      <c r="B5" s="28" t="n">
        <v>-1.07218387699228</v>
      </c>
      <c r="C5" s="28" t="n">
        <v>-1.070248168111643</v>
      </c>
      <c r="D5" s="29" t="n">
        <v>-1.068312459231006</v>
      </c>
      <c r="E5" s="28" t="n">
        <v>-1.066376750350369</v>
      </c>
      <c r="F5" s="28" t="n">
        <v>-1.064441041469732</v>
      </c>
    </row>
    <row r="6">
      <c r="A6" s="8" t="inlineStr">
        <is>
          <t>40% Premium</t>
        </is>
      </c>
      <c r="B6" s="28" t="n">
        <v>-1.152221959262261</v>
      </c>
      <c r="C6" s="28" t="n">
        <v>-1.150354734946336</v>
      </c>
      <c r="D6" s="28" t="n">
        <v>-1.14848751063041</v>
      </c>
      <c r="E6" s="28" t="n">
        <v>-1.146620286314485</v>
      </c>
      <c r="F6" s="28" t="n">
        <v>-1.144753061998559</v>
      </c>
    </row>
    <row r="7">
      <c r="A7" s="8" t="inlineStr">
        <is>
          <t>50% Premium</t>
        </is>
      </c>
      <c r="B7" s="28" t="n">
        <v>-1.226790137180121</v>
      </c>
      <c r="C7" s="28" t="n">
        <v>-1.224986717106641</v>
      </c>
      <c r="D7" s="28" t="n">
        <v>-1.223183297033161</v>
      </c>
      <c r="E7" s="28" t="n">
        <v>-1.221379876959681</v>
      </c>
      <c r="F7" s="28" t="n">
        <v>-1.2195764568862</v>
      </c>
    </row>
    <row r="10">
      <c r="A10" s="18" t="inlineStr">
        <is>
          <t>TABLE 2 — Year 1 GAAP EPS Impact: Offer Premium × Cash % Consideration</t>
        </is>
      </c>
      <c r="B10" s="2" t="n"/>
      <c r="C10" s="2" t="n"/>
      <c r="D10" s="2" t="n"/>
      <c r="E10" s="2" t="n"/>
      <c r="F10" s="3" t="n"/>
    </row>
    <row r="11">
      <c r="A11" s="9" t="inlineStr">
        <is>
          <t>Premium \ Cash %</t>
        </is>
      </c>
      <c r="B11" s="9" t="inlineStr">
        <is>
          <t>0% Cash</t>
        </is>
      </c>
      <c r="C11" s="9" t="inlineStr">
        <is>
          <t>25% Cash</t>
        </is>
      </c>
      <c r="D11" s="9" t="inlineStr">
        <is>
          <t>50% Cash</t>
        </is>
      </c>
      <c r="E11" s="9" t="inlineStr">
        <is>
          <t>75% Cash</t>
        </is>
      </c>
      <c r="F11" s="9" t="inlineStr">
        <is>
          <t>100% Cash</t>
        </is>
      </c>
    </row>
    <row r="12">
      <c r="A12" s="8" t="inlineStr">
        <is>
          <t>10% Premium</t>
        </is>
      </c>
      <c r="B12" s="28" t="n">
        <v>-0.5542272266404193</v>
      </c>
      <c r="C12" s="28" t="n">
        <v>-0.6883312027351234</v>
      </c>
      <c r="D12" s="28" t="n">
        <v>-0.8847442053356405</v>
      </c>
      <c r="E12" s="28" t="n">
        <v>-1.190469363053392</v>
      </c>
      <c r="F12" s="28" t="n">
        <v>-1.73194650152133</v>
      </c>
    </row>
    <row r="13">
      <c r="A13" s="8" t="inlineStr">
        <is>
          <t>20% Premium</t>
        </is>
      </c>
      <c r="B13" s="28" t="n">
        <v>-0.606810213594002</v>
      </c>
      <c r="C13" s="28" t="n">
        <v>-0.7563617231433338</v>
      </c>
      <c r="D13" s="28" t="n">
        <v>-0.9780134794754924</v>
      </c>
      <c r="E13" s="28" t="n">
        <v>-1.330917895323981</v>
      </c>
      <c r="F13" s="28" t="n">
        <v>-1.980694713012714</v>
      </c>
    </row>
    <row r="14">
      <c r="A14" s="6" t="inlineStr">
        <is>
          <t>30% Premium</t>
        </is>
      </c>
      <c r="B14" s="28" t="n">
        <v>-0.6541694949037522</v>
      </c>
      <c r="C14" s="28" t="n">
        <v>-0.8183477534244902</v>
      </c>
      <c r="D14" s="28" t="n">
        <v>-1.064441041469732</v>
      </c>
      <c r="E14" s="28" t="n">
        <v>-1.464602678146743</v>
      </c>
      <c r="F14" s="28" t="n">
        <v>-2.229442924504097</v>
      </c>
    </row>
    <row r="15">
      <c r="A15" s="8" t="inlineStr">
        <is>
          <t>40% Premium</t>
        </is>
      </c>
      <c r="B15" s="28" t="n">
        <v>-0.6970466371934088</v>
      </c>
      <c r="C15" s="28" t="n">
        <v>-0.8750606047440377</v>
      </c>
      <c r="D15" s="28" t="n">
        <v>-1.144753061998559</v>
      </c>
      <c r="E15" s="28" t="n">
        <v>-1.592000818284592</v>
      </c>
      <c r="F15" s="28" t="n">
        <v>-2.478191135995481</v>
      </c>
    </row>
    <row r="16">
      <c r="A16" s="8" t="inlineStr">
        <is>
          <t>50% Premium</t>
        </is>
      </c>
      <c r="B16" s="28" t="n">
        <v>-0.7360491836515801</v>
      </c>
      <c r="C16" s="28" t="n">
        <v>-0.9271457109252313</v>
      </c>
      <c r="D16" s="28" t="n">
        <v>-1.2195764568862</v>
      </c>
      <c r="E16" s="28" t="n">
        <v>-1.713545580633897</v>
      </c>
      <c r="F16" s="28" t="n">
        <v>-2.726939347486865</v>
      </c>
    </row>
    <row r="19">
      <c r="A19" s="18" t="inlineStr">
        <is>
          <t>TABLE 3 — Implied Acquisition Multiples vs Premium</t>
        </is>
      </c>
      <c r="B19" s="2" t="n"/>
      <c r="C19" s="2" t="n"/>
      <c r="D19" s="3" t="n"/>
    </row>
    <row r="20">
      <c r="A20" s="9" t="inlineStr">
        <is>
          <t>Premium</t>
        </is>
      </c>
      <c r="B20" s="9" t="inlineStr">
        <is>
          <t>EV/EBITDA</t>
        </is>
      </c>
      <c r="C20" s="9" t="inlineStr">
        <is>
          <t>EV/Revenue</t>
        </is>
      </c>
      <c r="D20" s="9" t="inlineStr">
        <is>
          <t>P/E</t>
        </is>
      </c>
    </row>
    <row r="21">
      <c r="A21" s="8" t="inlineStr">
        <is>
          <t>20%</t>
        </is>
      </c>
      <c r="B21" s="23" t="n">
        <v>33.28060961904961</v>
      </c>
      <c r="C21" s="23" t="n">
        <v>11.79353832275898</v>
      </c>
      <c r="D21" s="23" t="n">
        <v>43.75207263922518</v>
      </c>
    </row>
    <row r="22">
      <c r="A22" s="8" t="inlineStr">
        <is>
          <t>30%</t>
        </is>
      </c>
      <c r="B22" s="23" t="n">
        <v>36.04555290584147</v>
      </c>
      <c r="C22" s="23" t="n">
        <v>12.7733420278681</v>
      </c>
      <c r="D22" s="23" t="n">
        <v>47.39807869249395</v>
      </c>
    </row>
    <row r="23">
      <c r="A23" s="8" t="inlineStr">
        <is>
          <t>40%</t>
        </is>
      </c>
      <c r="B23" s="23" t="n">
        <v>38.81049619263333</v>
      </c>
      <c r="C23" s="23" t="n">
        <v>13.75314573297722</v>
      </c>
      <c r="D23" s="23" t="n">
        <v>51.04408474576271</v>
      </c>
    </row>
  </sheetData>
  <mergeCells count="3">
    <mergeCell ref="A1:F1"/>
    <mergeCell ref="A19:D19"/>
    <mergeCell ref="A10:F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2026-05-15T19:05:31Z</dcterms:created>
  <dcterms:modified xmlns:dcterms="http://purl.org/dc/terms/" xmlns:xsi="http://www.w3.org/2001/XMLSchema-instance" xsi:type="dcterms:W3CDTF">2026-05-15T19:05:31Z</dcterms:modified>
</cp:coreProperties>
</file>